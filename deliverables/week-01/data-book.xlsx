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Tren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<sst xmlns="http://schemas.openxmlformats.org/spreadsheetml/2006/main" count="96" uniqueCount="59">
  <si>
    <t xml:space="preserve">Rank</t>
  </si>
  <si>
    <t xml:space="preserve">Repository</t>
  </si>
  <si>
    <t xml:space="preserve">Language</t>
  </si>
  <si>
    <t xml:space="preserve">Stars</t>
  </si>
  <si>
    <t xml:space="preserve">Forks</t>
  </si>
  <si>
    <t xml:space="preserve">Engagement Ratio</t>
  </si>
  <si>
    <t xml:space="preserve">Category</t>
  </si>
  <si>
    <t xml:space="preserve">URL</t>
  </si>
  <si>
    <t xml:space="preserve">googleworkspace/cli</t>
  </si>
  <si>
    <t xml:space="preserve">Rust</t>
  </si>
  <si>
    <t xml:space="preserve">AI/ML</t>
  </si>
  <si>
    <t xml:space="preserve">https://github.com/googleworkspace/cli</t>
  </si>
  <si>
    <t xml:space="preserve">paperclipai/paperclip</t>
  </si>
  <si>
    <t xml:space="preserve">TypeScript</t>
  </si>
  <si>
    <t xml:space="preserve">https://github.com/paperclipai/paperclip</t>
  </si>
  <si>
    <t xml:space="preserve">phuryn/pm-skills</t>
  </si>
  <si>
    <t xml:space="preserve">Unknown</t>
  </si>
  <si>
    <t xml:space="preserve">Other</t>
  </si>
  <si>
    <t xml:space="preserve">https://github.com/phuryn/pm-skills</t>
  </si>
  <si>
    <t xml:space="preserve">smartcmd/MinecraftConsoles</t>
  </si>
  <si>
    <t xml:space="preserve">C++</t>
  </si>
  <si>
    <t xml:space="preserve">https://github.com/smartcmd/MinecraftConsoles</t>
  </si>
  <si>
    <t xml:space="preserve">elder-plinius/OBLITERATUS</t>
  </si>
  <si>
    <t xml:space="preserve">Python</t>
  </si>
  <si>
    <t xml:space="preserve">https://github.com/elder-plinius/OBLITERATUS</t>
  </si>
  <si>
    <t xml:space="preserve">LeoYeAI/openclaw-master-skills</t>
  </si>
  <si>
    <t xml:space="preserve">https://github.com/LeoYeAI/openclaw-master-skills</t>
  </si>
  <si>
    <t xml:space="preserve">World-Open-Graph/br-acc</t>
  </si>
  <si>
    <t xml:space="preserve">Web Development</t>
  </si>
  <si>
    <t xml:space="preserve">https://github.com/World-Open-Graph/br-acc</t>
  </si>
  <si>
    <t xml:space="preserve">slowmist/openclaw-security-practice-guide</t>
  </si>
  <si>
    <t xml:space="preserve">Shell</t>
  </si>
  <si>
    <t xml:space="preserve">Security</t>
  </si>
  <si>
    <t xml:space="preserve">https://github.com/slowmist/openclaw-security-practice-guide</t>
  </si>
  <si>
    <t xml:space="preserve">LeoYeAI/openclaw-guardian</t>
  </si>
  <si>
    <t xml:space="preserve">https://github.com/LeoYeAI/openclaw-guardian</t>
  </si>
  <si>
    <t xml:space="preserve">twostraws/SwiftUI-Agent-Skill</t>
  </si>
  <si>
    <t xml:space="preserve">https://github.com/twostraws/SwiftUI-Agent-Skill</t>
  </si>
  <si>
    <t xml:space="preserve">TOTALS</t>
  </si>
  <si>
    <t xml:space="preserve">Language Breakdown</t>
  </si>
  <si>
    <t xml:space="preserve">Repo Count</t>
  </si>
  <si>
    <t xml:space="preserve">Percentage</t>
  </si>
  <si>
    <t xml:space="preserve">Total Stars</t>
  </si>
  <si>
    <t xml:space="preserve">Swift</t>
  </si>
  <si>
    <t xml:space="preserve">JavaScript</t>
  </si>
  <si>
    <t xml:space="preserve">Go</t>
  </si>
  <si>
    <t xml:space="preserve">Jupyter Notebook</t>
  </si>
  <si>
    <t xml:space="preserve">HTML</t>
  </si>
  <si>
    <t xml:space="preserve">PowerShell</t>
  </si>
  <si>
    <t xml:space="preserve">C#</t>
  </si>
  <si>
    <t xml:space="preserve">Category Breakdown</t>
  </si>
  <si>
    <t xml:space="preserve">Count</t>
  </si>
  <si>
    <t xml:space="preserve">DevOps/Infra</t>
  </si>
  <si>
    <t xml:space="preserve">Mobile</t>
  </si>
  <si>
    <t xml:space="preserve">Data Engineering</t>
  </si>
  <si>
    <t xml:space="preserve">Languages Ranked by Stars per Repo</t>
  </si>
  <si>
    <t xml:space="preserve">Repos</t>
  </si>
  <si>
    <t xml:space="preserve">Stars/Repo</t>
  </si>
  <si>
    <t xml:space="preserve">Note: Week-over-week data not available this period. Showing stars-per-repo ranking instead.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</si>
</sst>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  <fill>
      <patternFill patternType="solid">
        <fgColor rgb="FF1B3A5C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B3A5C"/>
      </top>
      <bottom style="double">
        <color rgb="FF1B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4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n">
        <v>1</v>
      </c>
      <c r="B2" s="4" t="s">
        <v>8</v>
      </c>
      <c r="C2" s="4" t="s">
        <v>9</v>
      </c>
      <c r="D2" s="5" t="n">
        <v>15062</v>
      </c>
      <c r="E2" s="5" t="n">
        <v>548</v>
      </c>
      <c r="F2" s="6" t="n">
        <v>0.036</v>
      </c>
      <c r="G2" s="4" t="s">
        <v>10</v>
      </c>
      <c r="H2" s="4" t="s">
        <v>11</v>
      </c>
    </row>
    <row r="3" customFormat="false" ht="15" hidden="false" customHeight="false" outlineLevel="0" collapsed="false">
      <c r="A3" s="7" t="n">
        <v>2</v>
      </c>
      <c r="B3" s="8" t="s">
        <v>12</v>
      </c>
      <c r="C3" s="8" t="s">
        <v>13</v>
      </c>
      <c r="D3" s="9" t="n">
        <v>7460</v>
      </c>
      <c r="E3" s="9" t="n">
        <v>854</v>
      </c>
      <c r="F3" s="10" t="n">
        <v>0.114</v>
      </c>
      <c r="G3" s="8" t="s">
        <v>10</v>
      </c>
      <c r="H3" s="8" t="s">
        <v>14</v>
      </c>
    </row>
    <row r="4" customFormat="false" ht="15" hidden="false" customHeight="false" outlineLevel="0" collapsed="false">
      <c r="A4" s="3" t="n">
        <v>3</v>
      </c>
      <c r="B4" s="4" t="s">
        <v>15</v>
      </c>
      <c r="C4" s="4" t="s">
        <v>16</v>
      </c>
      <c r="D4" s="5" t="n">
        <v>4382</v>
      </c>
      <c r="E4" s="5" t="n">
        <v>421</v>
      </c>
      <c r="F4" s="6" t="n">
        <v>0.096</v>
      </c>
      <c r="G4" s="4" t="s">
        <v>17</v>
      </c>
      <c r="H4" s="4" t="s">
        <v>18</v>
      </c>
    </row>
    <row r="5" customFormat="false" ht="15" hidden="false" customHeight="false" outlineLevel="0" collapsed="false">
      <c r="A5" s="7" t="n">
        <v>4</v>
      </c>
      <c r="B5" s="8" t="s">
        <v>19</v>
      </c>
      <c r="C5" s="8" t="s">
        <v>20</v>
      </c>
      <c r="D5" s="9" t="n">
        <v>3821</v>
      </c>
      <c r="E5" s="9" t="n">
        <v>715</v>
      </c>
      <c r="F5" s="10" t="n">
        <v>0.187</v>
      </c>
      <c r="G5" s="8" t="s">
        <v>10</v>
      </c>
      <c r="H5" s="8" t="s">
        <v>21</v>
      </c>
    </row>
    <row r="6" customFormat="false" ht="15" hidden="false" customHeight="false" outlineLevel="0" collapsed="false">
      <c r="A6" s="3" t="n">
        <v>5</v>
      </c>
      <c r="B6" s="4" t="s">
        <v>22</v>
      </c>
      <c r="C6" s="4" t="s">
        <v>23</v>
      </c>
      <c r="D6" s="5" t="n">
        <v>2123</v>
      </c>
      <c r="E6" s="5" t="n">
        <v>372</v>
      </c>
      <c r="F6" s="6" t="n">
        <v>0.175</v>
      </c>
      <c r="G6" s="4" t="s">
        <v>10</v>
      </c>
      <c r="H6" s="4" t="s">
        <v>24</v>
      </c>
    </row>
    <row r="7" customFormat="false" ht="15" hidden="false" customHeight="false" outlineLevel="0" collapsed="false">
      <c r="A7" s="7" t="n">
        <v>6</v>
      </c>
      <c r="B7" s="8" t="s">
        <v>25</v>
      </c>
      <c r="C7" s="8" t="s">
        <v>23</v>
      </c>
      <c r="D7" s="9" t="n">
        <v>1428</v>
      </c>
      <c r="E7" s="9" t="n">
        <v>367</v>
      </c>
      <c r="F7" s="10" t="n">
        <v>0.257</v>
      </c>
      <c r="G7" s="8" t="s">
        <v>10</v>
      </c>
      <c r="H7" s="8" t="s">
        <v>26</v>
      </c>
    </row>
    <row r="8" customFormat="false" ht="15" hidden="false" customHeight="false" outlineLevel="0" collapsed="false">
      <c r="A8" s="3" t="n">
        <v>7</v>
      </c>
      <c r="B8" s="4" t="s">
        <v>27</v>
      </c>
      <c r="C8" s="4" t="s">
        <v>23</v>
      </c>
      <c r="D8" s="5" t="n">
        <v>1381</v>
      </c>
      <c r="E8" s="5" t="n">
        <v>373</v>
      </c>
      <c r="F8" s="6" t="n">
        <v>0.27</v>
      </c>
      <c r="G8" s="4" t="s">
        <v>28</v>
      </c>
      <c r="H8" s="4" t="s">
        <v>29</v>
      </c>
    </row>
    <row r="9" customFormat="false" ht="15" hidden="false" customHeight="false" outlineLevel="0" collapsed="false">
      <c r="A9" s="7" t="n">
        <v>8</v>
      </c>
      <c r="B9" s="8" t="s">
        <v>30</v>
      </c>
      <c r="C9" s="8" t="s">
        <v>31</v>
      </c>
      <c r="D9" s="9" t="n">
        <v>1323</v>
      </c>
      <c r="E9" s="9" t="n">
        <v>87</v>
      </c>
      <c r="F9" s="10" t="n">
        <v>0.066</v>
      </c>
      <c r="G9" s="8" t="s">
        <v>32</v>
      </c>
      <c r="H9" s="8" t="s">
        <v>33</v>
      </c>
    </row>
    <row r="10" customFormat="false" ht="15" hidden="false" customHeight="false" outlineLevel="0" collapsed="false">
      <c r="A10" s="3" t="n">
        <v>9</v>
      </c>
      <c r="B10" s="4" t="s">
        <v>34</v>
      </c>
      <c r="C10" s="4" t="s">
        <v>31</v>
      </c>
      <c r="D10" s="5" t="n">
        <v>1036</v>
      </c>
      <c r="E10" s="5" t="n">
        <v>390</v>
      </c>
      <c r="F10" s="6" t="n">
        <v>0.376</v>
      </c>
      <c r="G10" s="4" t="s">
        <v>10</v>
      </c>
      <c r="H10" s="4" t="s">
        <v>35</v>
      </c>
    </row>
    <row r="11" customFormat="false" ht="15" hidden="false" customHeight="false" outlineLevel="0" collapsed="false">
      <c r="A11" s="7" t="n">
        <v>10</v>
      </c>
      <c r="B11" s="8" t="s">
        <v>36</v>
      </c>
      <c r="C11" s="8" t="s">
        <v>16</v>
      </c>
      <c r="D11" s="9" t="n">
        <v>962</v>
      </c>
      <c r="E11" s="9" t="n">
        <v>28</v>
      </c>
      <c r="F11" s="10" t="n">
        <v>0.029</v>
      </c>
      <c r="G11" s="8" t="s">
        <v>10</v>
      </c>
      <c r="H11" s="8" t="s">
        <v>37</v>
      </c>
    </row>
    <row r="12" customFormat="false" ht="15" hidden="false" customHeight="false" outlineLevel="0" collapsed="false">
      <c r="A12" s="11" t="s">
        <v>38</v>
      </c>
      <c r="B12" s="12"/>
      <c r="C12" s="12"/>
      <c r="D12" s="13" t="n">
        <f aca="false">SUM(D2:D11)</f>
        <v>38978</v>
      </c>
      <c r="E12" s="13" t="n">
        <f aca="false">SUM(E2:E11)</f>
        <v>4155</v>
      </c>
      <c r="F12" s="14"/>
      <c r="G12" s="12"/>
      <c r="H1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5" t="s">
        <v>39</v>
      </c>
    </row>
    <row r="2" customFormat="false" ht="15" hidden="false" customHeight="false" outlineLevel="0" collapsed="false">
      <c r="A2" s="2" t="s">
        <v>2</v>
      </c>
      <c r="B2" s="2" t="s">
        <v>40</v>
      </c>
      <c r="C2" s="2" t="s">
        <v>41</v>
      </c>
      <c r="D2" s="2" t="s">
        <v>42</v>
      </c>
    </row>
    <row r="3" customFormat="false" ht="15" hidden="false" customHeight="false" outlineLevel="0" collapsed="false">
      <c r="A3" s="4" t="s">
        <v>23</v>
      </c>
      <c r="B3" s="3" t="n">
        <v>32</v>
      </c>
      <c r="C3" s="6" t="n">
        <v>0.32</v>
      </c>
      <c r="D3" s="5" t="n">
        <v>13976</v>
      </c>
    </row>
    <row r="4" customFormat="false" ht="15" hidden="false" customHeight="false" outlineLevel="0" collapsed="false">
      <c r="A4" s="8" t="s">
        <v>13</v>
      </c>
      <c r="B4" s="7" t="n">
        <v>22</v>
      </c>
      <c r="C4" s="10" t="n">
        <v>0.22</v>
      </c>
      <c r="D4" s="9" t="n">
        <v>13247</v>
      </c>
    </row>
    <row r="5" customFormat="false" ht="15" hidden="false" customHeight="false" outlineLevel="0" collapsed="false">
      <c r="A5" s="4" t="s">
        <v>16</v>
      </c>
      <c r="B5" s="3" t="n">
        <v>12</v>
      </c>
      <c r="C5" s="6" t="n">
        <v>0.12</v>
      </c>
      <c r="D5" s="5" t="n">
        <v>8370</v>
      </c>
    </row>
    <row r="6" customFormat="false" ht="15" hidden="false" customHeight="false" outlineLevel="0" collapsed="false">
      <c r="A6" s="8" t="s">
        <v>9</v>
      </c>
      <c r="B6" s="7" t="n">
        <v>11</v>
      </c>
      <c r="C6" s="10" t="n">
        <v>0.11</v>
      </c>
      <c r="D6" s="9" t="n">
        <v>17549</v>
      </c>
    </row>
    <row r="7" customFormat="false" ht="15" hidden="false" customHeight="false" outlineLevel="0" collapsed="false">
      <c r="A7" s="4" t="s">
        <v>31</v>
      </c>
      <c r="B7" s="3" t="n">
        <v>8</v>
      </c>
      <c r="C7" s="6" t="n">
        <v>0.08</v>
      </c>
      <c r="D7" s="5" t="n">
        <v>3961</v>
      </c>
    </row>
    <row r="8" customFormat="false" ht="15" hidden="false" customHeight="false" outlineLevel="0" collapsed="false">
      <c r="A8" s="8" t="s">
        <v>20</v>
      </c>
      <c r="B8" s="7" t="n">
        <v>4</v>
      </c>
      <c r="C8" s="10" t="n">
        <v>0.04</v>
      </c>
      <c r="D8" s="9" t="n">
        <v>5186</v>
      </c>
    </row>
    <row r="9" customFormat="false" ht="15" hidden="false" customHeight="false" outlineLevel="0" collapsed="false">
      <c r="A9" s="4" t="s">
        <v>43</v>
      </c>
      <c r="B9" s="3" t="n">
        <v>3</v>
      </c>
      <c r="C9" s="6" t="n">
        <v>0.03</v>
      </c>
      <c r="D9" s="5" t="n">
        <v>387</v>
      </c>
    </row>
    <row r="10" customFormat="false" ht="15" hidden="false" customHeight="false" outlineLevel="0" collapsed="false">
      <c r="A10" s="8" t="s">
        <v>44</v>
      </c>
      <c r="B10" s="7" t="n">
        <v>2</v>
      </c>
      <c r="C10" s="10" t="n">
        <v>0.02</v>
      </c>
      <c r="D10" s="9" t="n">
        <v>464</v>
      </c>
    </row>
    <row r="11" customFormat="false" ht="15" hidden="false" customHeight="false" outlineLevel="0" collapsed="false">
      <c r="A11" s="4" t="s">
        <v>45</v>
      </c>
      <c r="B11" s="3" t="n">
        <v>2</v>
      </c>
      <c r="C11" s="6" t="n">
        <v>0.02</v>
      </c>
      <c r="D11" s="5" t="n">
        <v>391</v>
      </c>
    </row>
    <row r="12" customFormat="false" ht="15" hidden="false" customHeight="false" outlineLevel="0" collapsed="false">
      <c r="A12" s="8" t="s">
        <v>46</v>
      </c>
      <c r="B12" s="7" t="n">
        <v>1</v>
      </c>
      <c r="C12" s="10" t="n">
        <v>0.01</v>
      </c>
      <c r="D12" s="9" t="n">
        <v>753</v>
      </c>
    </row>
    <row r="13" customFormat="false" ht="15" hidden="false" customHeight="false" outlineLevel="0" collapsed="false">
      <c r="A13" s="4" t="s">
        <v>47</v>
      </c>
      <c r="B13" s="3" t="n">
        <v>1</v>
      </c>
      <c r="C13" s="6" t="n">
        <v>0.01</v>
      </c>
      <c r="D13" s="5" t="n">
        <v>247</v>
      </c>
    </row>
    <row r="14" customFormat="false" ht="15" hidden="false" customHeight="false" outlineLevel="0" collapsed="false">
      <c r="A14" s="8" t="s">
        <v>48</v>
      </c>
      <c r="B14" s="7" t="n">
        <v>1</v>
      </c>
      <c r="C14" s="10" t="n">
        <v>0.01</v>
      </c>
      <c r="D14" s="9" t="n">
        <v>187</v>
      </c>
    </row>
    <row r="15" customFormat="false" ht="15" hidden="false" customHeight="false" outlineLevel="0" collapsed="false">
      <c r="A15" s="4" t="s">
        <v>49</v>
      </c>
      <c r="B15" s="3" t="n">
        <v>1</v>
      </c>
      <c r="C15" s="6" t="n">
        <v>0.01</v>
      </c>
      <c r="D15" s="5" t="n">
        <v>179</v>
      </c>
    </row>
    <row r="18" customFormat="false" ht="17.35" hidden="false" customHeight="false" outlineLevel="0" collapsed="false">
      <c r="A18" s="15" t="s">
        <v>50</v>
      </c>
    </row>
    <row r="19" customFormat="false" ht="15" hidden="false" customHeight="false" outlineLevel="0" collapsed="false">
      <c r="A19" s="2" t="s">
        <v>6</v>
      </c>
      <c r="B19" s="2" t="s">
        <v>51</v>
      </c>
      <c r="C19" s="2" t="s">
        <v>41</v>
      </c>
    </row>
    <row r="20" customFormat="false" ht="15" hidden="false" customHeight="false" outlineLevel="0" collapsed="false">
      <c r="A20" s="4" t="s">
        <v>10</v>
      </c>
      <c r="B20" s="3" t="n">
        <v>43</v>
      </c>
      <c r="C20" s="6" t="n">
        <v>0.43</v>
      </c>
    </row>
    <row r="21" customFormat="false" ht="15" hidden="false" customHeight="false" outlineLevel="0" collapsed="false">
      <c r="A21" s="8" t="s">
        <v>17</v>
      </c>
      <c r="B21" s="7" t="n">
        <v>42</v>
      </c>
      <c r="C21" s="10" t="n">
        <v>0.42</v>
      </c>
    </row>
    <row r="22" customFormat="false" ht="15" hidden="false" customHeight="false" outlineLevel="0" collapsed="false">
      <c r="A22" s="4" t="s">
        <v>28</v>
      </c>
      <c r="B22" s="3" t="n">
        <v>6</v>
      </c>
      <c r="C22" s="6" t="n">
        <v>0.06</v>
      </c>
    </row>
    <row r="23" customFormat="false" ht="15" hidden="false" customHeight="false" outlineLevel="0" collapsed="false">
      <c r="A23" s="8" t="s">
        <v>32</v>
      </c>
      <c r="B23" s="7" t="n">
        <v>5</v>
      </c>
      <c r="C23" s="10" t="n">
        <v>0.05</v>
      </c>
    </row>
    <row r="24" customFormat="false" ht="15" hidden="false" customHeight="false" outlineLevel="0" collapsed="false">
      <c r="A24" s="4" t="s">
        <v>52</v>
      </c>
      <c r="B24" s="3" t="n">
        <v>2</v>
      </c>
      <c r="C24" s="6" t="n">
        <v>0.02</v>
      </c>
    </row>
    <row r="25" customFormat="false" ht="15" hidden="false" customHeight="false" outlineLevel="0" collapsed="false">
      <c r="A25" s="8" t="s">
        <v>53</v>
      </c>
      <c r="B25" s="7" t="n">
        <v>1</v>
      </c>
      <c r="C25" s="10" t="n">
        <v>0.01</v>
      </c>
    </row>
    <row r="26" customFormat="false" ht="15" hidden="false" customHeight="false" outlineLevel="0" collapsed="false">
      <c r="A26" s="4" t="s">
        <v>54</v>
      </c>
      <c r="B26" s="3" t="n">
        <v>1</v>
      </c>
      <c r="C26" s="6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5" t="s">
        <v>55</v>
      </c>
    </row>
    <row r="2" customFormat="false" ht="15" hidden="false" customHeight="false" outlineLevel="0" collapsed="false">
      <c r="A2" s="16" t="s">
        <v>2</v>
      </c>
      <c r="B2" s="16" t="s">
        <v>56</v>
      </c>
      <c r="C2" s="16" t="s">
        <v>42</v>
      </c>
      <c r="D2" s="16" t="s">
        <v>57</v>
      </c>
    </row>
    <row r="3" customFormat="false" ht="15" hidden="false" customHeight="false" outlineLevel="0" collapsed="false">
      <c r="A3" s="4" t="s">
        <v>9</v>
      </c>
      <c r="B3" s="3" t="n">
        <v>11</v>
      </c>
      <c r="C3" s="5" t="n">
        <v>17549</v>
      </c>
      <c r="D3" s="5" t="n">
        <f aca="false">C3/B3</f>
        <v>1595.36363636364</v>
      </c>
    </row>
    <row r="4" customFormat="false" ht="15" hidden="false" customHeight="false" outlineLevel="0" collapsed="false">
      <c r="A4" s="8" t="s">
        <v>20</v>
      </c>
      <c r="B4" s="7" t="n">
        <v>4</v>
      </c>
      <c r="C4" s="9" t="n">
        <v>5186</v>
      </c>
      <c r="D4" s="9" t="n">
        <f aca="false">C4/B4</f>
        <v>1296.5</v>
      </c>
    </row>
    <row r="5" customFormat="false" ht="15" hidden="false" customHeight="false" outlineLevel="0" collapsed="false">
      <c r="A5" s="4" t="s">
        <v>46</v>
      </c>
      <c r="B5" s="3" t="n">
        <v>1</v>
      </c>
      <c r="C5" s="5" t="n">
        <v>753</v>
      </c>
      <c r="D5" s="5" t="n">
        <f aca="false">C5/B5</f>
        <v>753</v>
      </c>
    </row>
    <row r="6" customFormat="false" ht="15" hidden="false" customHeight="false" outlineLevel="0" collapsed="false">
      <c r="A6" s="8" t="s">
        <v>13</v>
      </c>
      <c r="B6" s="7" t="n">
        <v>22</v>
      </c>
      <c r="C6" s="9" t="n">
        <v>13247</v>
      </c>
      <c r="D6" s="9" t="n">
        <f aca="false">C6/B6</f>
        <v>602.136363636364</v>
      </c>
    </row>
    <row r="7" customFormat="false" ht="15" hidden="false" customHeight="false" outlineLevel="0" collapsed="false">
      <c r="A7" s="4" t="s">
        <v>31</v>
      </c>
      <c r="B7" s="3" t="n">
        <v>8</v>
      </c>
      <c r="C7" s="5" t="n">
        <v>3961</v>
      </c>
      <c r="D7" s="5" t="n">
        <f aca="false">C7/B7</f>
        <v>495.125</v>
      </c>
    </row>
    <row r="8" customFormat="false" ht="15" hidden="false" customHeight="false" outlineLevel="0" collapsed="false">
      <c r="A8" s="8" t="s">
        <v>23</v>
      </c>
      <c r="B8" s="7" t="n">
        <v>32</v>
      </c>
      <c r="C8" s="9" t="n">
        <v>13976</v>
      </c>
      <c r="D8" s="9" t="n">
        <f aca="false">C8/B8</f>
        <v>436.75</v>
      </c>
    </row>
    <row r="9" customFormat="false" ht="15" hidden="false" customHeight="false" outlineLevel="0" collapsed="false">
      <c r="A9" s="4" t="s">
        <v>47</v>
      </c>
      <c r="B9" s="3" t="n">
        <v>1</v>
      </c>
      <c r="C9" s="5" t="n">
        <v>247</v>
      </c>
      <c r="D9" s="5" t="n">
        <f aca="false">C9/B9</f>
        <v>247</v>
      </c>
    </row>
    <row r="10" customFormat="false" ht="15" hidden="false" customHeight="false" outlineLevel="0" collapsed="false">
      <c r="A10" s="8" t="s">
        <v>44</v>
      </c>
      <c r="B10" s="7" t="n">
        <v>2</v>
      </c>
      <c r="C10" s="9" t="n">
        <v>464</v>
      </c>
      <c r="D10" s="9" t="n">
        <f aca="false">C10/B10</f>
        <v>232</v>
      </c>
    </row>
    <row r="11" customFormat="false" ht="15" hidden="false" customHeight="false" outlineLevel="0" collapsed="false">
      <c r="A11" s="4" t="s">
        <v>45</v>
      </c>
      <c r="B11" s="3" t="n">
        <v>2</v>
      </c>
      <c r="C11" s="5" t="n">
        <v>391</v>
      </c>
      <c r="D11" s="5" t="n">
        <f aca="false">C11/B11</f>
        <v>195.5</v>
      </c>
    </row>
    <row r="12" customFormat="false" ht="15" hidden="false" customHeight="false" outlineLevel="0" collapsed="false">
      <c r="A12" s="8" t="s">
        <v>48</v>
      </c>
      <c r="B12" s="7" t="n">
        <v>1</v>
      </c>
      <c r="C12" s="9" t="n">
        <v>187</v>
      </c>
      <c r="D12" s="9" t="n">
        <f aca="false">C12/B12</f>
        <v>187</v>
      </c>
    </row>
    <row r="13" customFormat="false" ht="15" hidden="false" customHeight="false" outlineLevel="0" collapsed="false">
      <c r="A13" s="4" t="s">
        <v>49</v>
      </c>
      <c r="B13" s="3" t="n">
        <v>1</v>
      </c>
      <c r="C13" s="5" t="n">
        <v>179</v>
      </c>
      <c r="D13" s="5" t="n">
        <f aca="false">C13/B13</f>
        <v>179</v>
      </c>
    </row>
    <row r="14" customFormat="false" ht="15" hidden="false" customHeight="false" outlineLevel="0" collapsed="false">
      <c r="A14" s="8" t="s">
        <v>43</v>
      </c>
      <c r="B14" s="7" t="n">
        <v>3</v>
      </c>
      <c r="C14" s="9" t="n">
        <v>387</v>
      </c>
      <c r="D14" s="9" t="n">
        <f aca="false">C14/B14</f>
        <v>129</v>
      </c>
    </row>
    <row r="16" customFormat="false" ht="15" hidden="false" customHeight="false" outlineLevel="0" collapsed="false">
      <c r="A16" s="1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2026-03-08T09:09:50Z</dcterms:created>
  <dc:creator>openpyxl</dc:creator>
  <dc:description/>
  <dc:language>en-US</dc:language>
  <cp:lastModifiedBy/>
  <dcterms:modified xsi:type="dcterms:W3CDTF">2026-03-08T09:09:50Z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